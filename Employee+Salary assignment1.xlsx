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nksha\Downloads\"/>
    </mc:Choice>
  </mc:AlternateContent>
  <xr:revisionPtr revIDLastSave="0" documentId="8_{297A6562-AE32-4306-9BE3-4F30B0AFB6A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Basic Pay" sheetId="1" r:id="rId1"/>
    <sheet name="HRA" sheetId="2" r:id="rId2"/>
    <sheet name="DA" sheetId="3" r:id="rId3"/>
    <sheet name="Gross Sal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4" l="1"/>
  <c r="D6" i="4"/>
  <c r="D7" i="4"/>
  <c r="D8" i="4"/>
  <c r="D9" i="4"/>
  <c r="D10" i="4"/>
  <c r="D11" i="4"/>
  <c r="D12" i="4"/>
  <c r="D13" i="4"/>
  <c r="D14" i="4"/>
  <c r="D6" i="2"/>
  <c r="D7" i="2"/>
  <c r="D8" i="2"/>
  <c r="D9" i="2"/>
  <c r="D10" i="2"/>
  <c r="D11" i="2"/>
  <c r="D12" i="2"/>
  <c r="D13" i="2"/>
  <c r="D14" i="2"/>
  <c r="D5" i="2"/>
  <c r="D6" i="3"/>
  <c r="D7" i="3"/>
  <c r="D8" i="3"/>
  <c r="D9" i="3"/>
  <c r="D10" i="3"/>
  <c r="D11" i="3"/>
  <c r="D12" i="3"/>
  <c r="D13" i="3"/>
  <c r="D14" i="3"/>
  <c r="D5" i="3"/>
</calcChain>
</file>

<file path=xl/sharedStrings.xml><?xml version="1.0" encoding="utf-8"?>
<sst xmlns="http://schemas.openxmlformats.org/spreadsheetml/2006/main" count="60" uniqueCount="24">
  <si>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</si>
  <si>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</si>
  <si>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</si>
  <si>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</si>
  <si>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</si>
  <si>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</si>
  <si>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</si>
  <si>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</si>
  <si>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</si>
  <si>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</si>
  <si>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</si>
  <si>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</si>
  <si>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</si>
  <si>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</si>
  <si>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</si>
  <si>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</si>
  <si>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</si>
  <si>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</si>
  <si>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Sum</t>
  </si>
  <si>
    <t>Average</t>
  </si>
  <si>
    <t>Running Total</t>
  </si>
  <si>
    <t>Count</t>
  </si>
  <si>
    <t>EMP_Gross_Salary</t>
  </si>
  <si>
    <t>Gross Salary of the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</si>
</sst>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7"/>
      <color rgb="FF333333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C4" sqref="C4:C14"/>
    </sheetView>
  </sheetViews>
  <sheetFormatPr defaultRowHeight="12.5" x14ac:dyDescent="0.25"/>
  <cols>
    <col min="2" max="2" width="15.36328125" customWidth="1"/>
    <col min="3" max="3" width="22" customWidth="1"/>
    <col min="4" max="4" width="25.453125" customWidth="1"/>
  </cols>
  <sheetData>
    <row r="3" spans="2:4" x14ac:dyDescent="0.25">
      <c r="B3" s="3" t="s">
        <v>0</v>
      </c>
      <c r="C3" s="3"/>
      <c r="D3" s="3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4"/>
  <sheetViews>
    <sheetView workbookViewId="0">
      <selection activeCell="D5" sqref="D5:D14"/>
    </sheetView>
  </sheetViews>
  <sheetFormatPr defaultRowHeight="12.5" x14ac:dyDescent="0.25"/>
  <cols>
    <col min="2" max="2" width="15.36328125" customWidth="1"/>
    <col min="3" max="3" width="22" customWidth="1"/>
    <col min="4" max="4" width="25.453125" customWidth="1"/>
  </cols>
  <sheetData>
    <row r="3" spans="2:4" x14ac:dyDescent="0.25">
      <c r="B3" s="4" t="s">
        <v>13</v>
      </c>
      <c r="C3" s="4"/>
      <c r="D3" s="4"/>
    </row>
    <row r="4" spans="2:4" x14ac:dyDescent="0.25">
      <c r="B4" s="1" t="s">
        <v>2</v>
      </c>
      <c r="C4" s="1" t="s">
        <v>1</v>
      </c>
      <c r="D4" s="1" t="s">
        <v>14</v>
      </c>
    </row>
    <row r="5" spans="2:4" x14ac:dyDescent="0.25">
      <c r="B5" s="1">
        <v>5001</v>
      </c>
      <c r="C5" s="1" t="s">
        <v>3</v>
      </c>
      <c r="D5" s="1">
        <f>('Basic Pay'!D5+DA!D5)*50%</f>
        <v>2520</v>
      </c>
    </row>
    <row r="6" spans="2:4" x14ac:dyDescent="0.25">
      <c r="B6" s="1">
        <v>5003</v>
      </c>
      <c r="C6" s="1" t="s">
        <v>4</v>
      </c>
      <c r="D6" s="1">
        <f>('Basic Pay'!D6+DA!D6)*50%</f>
        <v>1400</v>
      </c>
    </row>
    <row r="7" spans="2:4" x14ac:dyDescent="0.25">
      <c r="B7" s="1">
        <v>5098</v>
      </c>
      <c r="C7" s="1" t="s">
        <v>5</v>
      </c>
      <c r="D7" s="1">
        <f>('Basic Pay'!D7+DA!D7)*50%</f>
        <v>2520</v>
      </c>
    </row>
    <row r="8" spans="2:4" x14ac:dyDescent="0.25">
      <c r="B8" s="1">
        <v>5689</v>
      </c>
      <c r="C8" s="1" t="s">
        <v>6</v>
      </c>
      <c r="D8" s="1">
        <f>('Basic Pay'!D8+DA!D8)*50%</f>
        <v>1792</v>
      </c>
    </row>
    <row r="9" spans="2:4" x14ac:dyDescent="0.25">
      <c r="B9" s="1">
        <v>5764</v>
      </c>
      <c r="C9" s="1" t="s">
        <v>7</v>
      </c>
      <c r="D9" s="1">
        <f>('Basic Pay'!D9+DA!D9)*50%</f>
        <v>684.88</v>
      </c>
    </row>
    <row r="10" spans="2:4" x14ac:dyDescent="0.25">
      <c r="B10" s="1">
        <v>5091</v>
      </c>
      <c r="C10" s="1" t="s">
        <v>8</v>
      </c>
      <c r="D10" s="1">
        <f>('Basic Pay'!D10+DA!D10)*50%</f>
        <v>4418.3999999999996</v>
      </c>
    </row>
    <row r="11" spans="2:4" x14ac:dyDescent="0.25">
      <c r="B11" s="1">
        <v>5673</v>
      </c>
      <c r="C11" s="1" t="s">
        <v>9</v>
      </c>
      <c r="D11" s="1">
        <f>('Basic Pay'!D11+DA!D11)*50%</f>
        <v>3640</v>
      </c>
    </row>
    <row r="12" spans="2:4" x14ac:dyDescent="0.25">
      <c r="B12" s="1">
        <v>5901</v>
      </c>
      <c r="C12" s="1" t="s">
        <v>10</v>
      </c>
      <c r="D12" s="1">
        <f>('Basic Pay'!D12+DA!D12)*50%</f>
        <v>3068.24</v>
      </c>
    </row>
    <row r="13" spans="2:4" x14ac:dyDescent="0.25">
      <c r="B13" s="1">
        <v>5764</v>
      </c>
      <c r="C13" s="1" t="s">
        <v>11</v>
      </c>
      <c r="D13" s="1">
        <f>('Basic Pay'!D13+DA!D13)*50%</f>
        <v>1935.36</v>
      </c>
    </row>
    <row r="14" spans="2:4" x14ac:dyDescent="0.25">
      <c r="B14" s="1">
        <v>5555</v>
      </c>
      <c r="C14" s="1" t="s">
        <v>12</v>
      </c>
      <c r="D14" s="1">
        <f>('Basic Pay'!D14+DA!D14)*50%</f>
        <v>672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C5" sqref="C5"/>
    </sheetView>
  </sheetViews>
  <sheetFormatPr defaultRowHeight="12.5" x14ac:dyDescent="0.25"/>
  <cols>
    <col min="2" max="2" width="15.36328125" customWidth="1"/>
    <col min="3" max="3" width="22" customWidth="1"/>
    <col min="4" max="4" width="25.453125" customWidth="1"/>
  </cols>
  <sheetData>
    <row r="3" spans="2:4" x14ac:dyDescent="0.25">
      <c r="B3" s="5" t="s">
        <v>16</v>
      </c>
      <c r="C3" s="5"/>
      <c r="D3" s="5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1">
        <f>'Basic Pay'!D5*12%</f>
        <v>540</v>
      </c>
    </row>
    <row r="6" spans="2:4" x14ac:dyDescent="0.25">
      <c r="B6" s="1">
        <v>5003</v>
      </c>
      <c r="C6" s="1" t="s">
        <v>4</v>
      </c>
      <c r="D6" s="1">
        <f>'Basic Pay'!D6*12%</f>
        <v>300</v>
      </c>
    </row>
    <row r="7" spans="2:4" x14ac:dyDescent="0.25">
      <c r="B7" s="1">
        <v>5098</v>
      </c>
      <c r="C7" s="1" t="s">
        <v>5</v>
      </c>
      <c r="D7" s="1">
        <f>'Basic Pay'!D7*12%</f>
        <v>540</v>
      </c>
    </row>
    <row r="8" spans="2:4" x14ac:dyDescent="0.25">
      <c r="B8" s="1">
        <v>5689</v>
      </c>
      <c r="C8" s="1" t="s">
        <v>6</v>
      </c>
      <c r="D8" s="1">
        <f>'Basic Pay'!D8*12%</f>
        <v>384</v>
      </c>
    </row>
    <row r="9" spans="2:4" x14ac:dyDescent="0.25">
      <c r="B9" s="1">
        <v>5764</v>
      </c>
      <c r="C9" s="1" t="s">
        <v>7</v>
      </c>
      <c r="D9" s="1">
        <f>'Basic Pay'!D9*12%</f>
        <v>146.76</v>
      </c>
    </row>
    <row r="10" spans="2:4" x14ac:dyDescent="0.25">
      <c r="B10" s="1">
        <v>5091</v>
      </c>
      <c r="C10" s="1" t="s">
        <v>8</v>
      </c>
      <c r="D10" s="1">
        <f>'Basic Pay'!D10*12%</f>
        <v>946.8</v>
      </c>
    </row>
    <row r="11" spans="2:4" x14ac:dyDescent="0.25">
      <c r="B11" s="1">
        <v>5673</v>
      </c>
      <c r="C11" s="1" t="s">
        <v>9</v>
      </c>
      <c r="D11" s="1">
        <f>'Basic Pay'!D11*12%</f>
        <v>780</v>
      </c>
    </row>
    <row r="12" spans="2:4" x14ac:dyDescent="0.25">
      <c r="B12" s="1">
        <v>5901</v>
      </c>
      <c r="C12" s="1" t="s">
        <v>10</v>
      </c>
      <c r="D12" s="1">
        <f>'Basic Pay'!D12*12%</f>
        <v>657.48</v>
      </c>
    </row>
    <row r="13" spans="2:4" x14ac:dyDescent="0.25">
      <c r="B13" s="1">
        <v>5764</v>
      </c>
      <c r="C13" s="1" t="s">
        <v>11</v>
      </c>
      <c r="D13" s="1">
        <f>'Basic Pay'!D13*12%</f>
        <v>414.71999999999997</v>
      </c>
    </row>
    <row r="14" spans="2:4" x14ac:dyDescent="0.25">
      <c r="B14" s="1">
        <v>5555</v>
      </c>
      <c r="C14" s="1" t="s">
        <v>12</v>
      </c>
      <c r="D14" s="1">
        <f>'Basic Pay'!D14*12%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5BB2-1DA2-470C-BF9E-7A180C888F35}">
  <dimension ref="A1:G18"/>
  <sheetViews>
    <sheetView tabSelected="1" workbookViewId="0">
      <selection activeCell="B3" sqref="B3:D3"/>
    </sheetView>
  </sheetViews>
  <sheetFormatPr defaultRowHeight="12.5" x14ac:dyDescent="0.25"/>
  <cols>
    <col min="2" max="2" width="15.1796875" customWidth="1"/>
    <col min="3" max="3" width="21.6328125" customWidth="1"/>
    <col min="4" max="4" width="17" customWidth="1"/>
  </cols>
  <sheetData>
    <row r="1" spans="1:7" x14ac:dyDescent="0.25">
      <c r="A1" s="6"/>
    </row>
    <row r="2" spans="1:7" x14ac:dyDescent="0.25">
      <c r="F2" s="6"/>
    </row>
    <row r="3" spans="1:7" x14ac:dyDescent="0.25">
      <c r="B3" s="8" t="s">
        <v>23</v>
      </c>
      <c r="C3" s="8"/>
      <c r="D3" s="8"/>
    </row>
    <row r="4" spans="1:7" x14ac:dyDescent="0.25">
      <c r="B4" s="2" t="s">
        <v>2</v>
      </c>
      <c r="C4" s="2" t="s">
        <v>1</v>
      </c>
      <c r="D4" s="10" t="s">
        <v>22</v>
      </c>
    </row>
    <row r="5" spans="1:7" x14ac:dyDescent="0.25">
      <c r="B5" s="2">
        <v>5001</v>
      </c>
      <c r="C5" s="2" t="s">
        <v>3</v>
      </c>
      <c r="D5" s="11">
        <f>'Basic Pay'!D5+DA!D5+HRA!D5</f>
        <v>7560</v>
      </c>
    </row>
    <row r="6" spans="1:7" x14ac:dyDescent="0.25">
      <c r="B6" s="2">
        <v>5003</v>
      </c>
      <c r="C6" s="2" t="s">
        <v>4</v>
      </c>
      <c r="D6" s="11">
        <f>'Basic Pay'!D6+DA!D6+HRA!D6</f>
        <v>4200</v>
      </c>
    </row>
    <row r="7" spans="1:7" x14ac:dyDescent="0.25">
      <c r="B7" s="2">
        <v>5098</v>
      </c>
      <c r="C7" s="2" t="s">
        <v>5</v>
      </c>
      <c r="D7" s="11">
        <f>'Basic Pay'!D7+DA!D7+HRA!D7</f>
        <v>7560</v>
      </c>
    </row>
    <row r="8" spans="1:7" x14ac:dyDescent="0.25">
      <c r="B8" s="2">
        <v>5689</v>
      </c>
      <c r="C8" s="2" t="s">
        <v>6</v>
      </c>
      <c r="D8" s="11">
        <f>'Basic Pay'!D8+DA!D8+HRA!D8</f>
        <v>5376</v>
      </c>
      <c r="G8" s="9"/>
    </row>
    <row r="9" spans="1:7" x14ac:dyDescent="0.25">
      <c r="B9" s="2">
        <v>5764</v>
      </c>
      <c r="C9" s="2" t="s">
        <v>7</v>
      </c>
      <c r="D9" s="11">
        <f>'Basic Pay'!D9+DA!D9+HRA!D9</f>
        <v>2054.64</v>
      </c>
      <c r="G9" s="7"/>
    </row>
    <row r="10" spans="1:7" x14ac:dyDescent="0.25">
      <c r="B10" s="2">
        <v>5091</v>
      </c>
      <c r="C10" s="2" t="s">
        <v>8</v>
      </c>
      <c r="D10" s="11">
        <f>'Basic Pay'!D10+DA!D10+HRA!D10</f>
        <v>13255.199999999999</v>
      </c>
      <c r="G10" s="7"/>
    </row>
    <row r="11" spans="1:7" x14ac:dyDescent="0.25">
      <c r="B11" s="2">
        <v>5673</v>
      </c>
      <c r="C11" s="2" t="s">
        <v>9</v>
      </c>
      <c r="D11" s="11">
        <f>'Basic Pay'!D11+DA!D11+HRA!D11</f>
        <v>10920</v>
      </c>
      <c r="G11" s="7"/>
    </row>
    <row r="12" spans="1:7" x14ac:dyDescent="0.25">
      <c r="B12" s="2">
        <v>5901</v>
      </c>
      <c r="C12" s="2" t="s">
        <v>10</v>
      </c>
      <c r="D12" s="11">
        <f>'Basic Pay'!D12+DA!D12+HRA!D12</f>
        <v>9204.7199999999993</v>
      </c>
      <c r="G12" s="7"/>
    </row>
    <row r="13" spans="1:7" x14ac:dyDescent="0.25">
      <c r="B13" s="2">
        <v>5764</v>
      </c>
      <c r="C13" s="2" t="s">
        <v>11</v>
      </c>
      <c r="D13" s="11">
        <f>'Basic Pay'!D13+DA!D13+HRA!D13</f>
        <v>5806.08</v>
      </c>
      <c r="G13" s="7"/>
    </row>
    <row r="14" spans="1:7" x14ac:dyDescent="0.25">
      <c r="B14" s="2">
        <v>5555</v>
      </c>
      <c r="C14" s="2" t="s">
        <v>12</v>
      </c>
      <c r="D14" s="11">
        <f>'Basic Pay'!D14+DA!D14+HRA!D14</f>
        <v>2016</v>
      </c>
      <c r="G14" s="7"/>
    </row>
    <row r="15" spans="1:7" x14ac:dyDescent="0.25">
      <c r="G15" s="7"/>
    </row>
    <row r="16" spans="1:7" x14ac:dyDescent="0.25">
      <c r="G16" s="7"/>
    </row>
    <row r="17" spans="7:7" x14ac:dyDescent="0.25">
      <c r="G17" s="7"/>
    </row>
    <row r="18" spans="7:7" x14ac:dyDescent="0.25">
      <c r="G18" s="7"/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HRA</vt:lpstr>
      <vt:lpstr>DA</vt:lpstr>
      <vt:lpstr>Gross Salary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Amit Mishra</cp:lastModifiedBy>
  <dcterms:created xsi:type="dcterms:W3CDTF">2007-12-11T14:17:32Z</dcterms:created>
  <dcterms:modified xsi:type="dcterms:W3CDTF">2026-10-07T10:52:50Z</dcterms:modified>
</cp:coreProperties>
</file>